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DBF38550-1DD0-43DF-8B73-24E65E50BAA7}" xr6:coauthVersionLast="47" xr6:coauthVersionMax="47" xr10:uidLastSave="{00000000-0000-0000-0000-000000000000}"/>
  <bookViews>
    <workbookView xWindow="-20610" yWindow="-1350" windowWidth="20730" windowHeight="11760" tabRatio="0" firstSheet="3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8"/>
  <pivotCaches>
    <pivotCache cacheId="344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<sst xmlns="http://schemas.openxmlformats.org/spreadsheetml/2006/main" count="2022" uniqueCount="325">
  <si>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</si>
  <si>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</si>
  <si>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</si>
  <si>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</si>
  <si>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</si>
  <si>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</si>
  <si>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</si>
  <si>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</si>
  <si>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</si>
  <si>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</si>
  <si>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</si>
  <si>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</si>
  <si>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</si>
  <si>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</si>
  <si>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</si>
  <si>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</si>
  <si>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</si>
  <si>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</si>
  <si>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</si>
  <si>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</si>
  <si>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</si>
  <si>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</si>
  <si>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</si>
  <si>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</si>
  <si>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</si>
  <si>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</si>
  <si>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</si>
  <si>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</si>
  <si>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</si>
  <si>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</si>
  <si>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</si>
  <si>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</si>
  <si>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</si>
  <si>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</si>
  <si>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</si>
  <si>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</si>
  <si>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</si>
  <si>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</si>
  <si>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</si>
  <si>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</si>
  <si>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</si>
  <si>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</si>
  <si>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</si>
  <si>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</si>
  <si>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</si>
  <si>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</si>
  <si>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</si>
  <si>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</si>
  <si>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</si>
  <si>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</si>
  <si>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</si>
  <si>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</si>
  <si>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</si>
  <si>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</si>
  <si>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</si>
  <si>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</si>
  <si>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</si>
  <si>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</si>
  <si>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</si>
  <si>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</si>
  <si>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</si>
  <si>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</si>
  <si>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</si>
  <si>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</si>
  <si>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</si>
  <si>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</si>
  <si>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</si>
  <si>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</si>
  <si>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</si>
  <si>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</si>
  <si>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</si>
  <si>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</si>
  <si>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</si>
  <si>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</si>
  <si>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</si>
  <si>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</si>
  <si>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</si>
  <si>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</si>
  <si>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</si>
  <si>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</si>
  <si>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</si>
  <si>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</si>
  <si>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</si>
  <si>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</si>
  <si>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</si>
  <si>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</si>
  <si>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</si>
  <si>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</si>
  <si>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</si>
  <si>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</si>
  <si>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</si>
  <si>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</si>
  <si>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</si>
  <si>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</si>
  <si>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</si>
  <si>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</si>
  <si>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</si>
  <si>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</si>
  <si>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</si>
  <si>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</si>
  <si>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</si>
  <si>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</si>
  <si>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</si>
  <si>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</si>
  <si>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</si>
  <si>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</si>
  <si>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</si>
  <si>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</si>
  <si>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</si>
  <si>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</si>
  <si>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</si>
  <si>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</si>
  <si>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</si>
  <si>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</si>
  <si>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</si>
  <si>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</si>
  <si>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</si>
  <si>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</si>
  <si>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</si>
  <si>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</si>
  <si>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</si>
  <si>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</si>
  <si>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</si>
  <si>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</si>
  <si>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</si>
  <si>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</si>
  <si>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</si>
  <si>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</si>
  <si>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</si>
  <si>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</si>
  <si>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</si>
  <si>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</si>
  <si>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</si>
  <si>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</si>
  <si>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</si>
  <si>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</si>
  <si>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</si>
  <si>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</si>
  <si>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</si>
  <si>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</si>
  <si>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</si>
  <si>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</si>
  <si>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</si>
  <si>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</si>
  <si>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</si>
  <si>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</si>
  <si>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</si>
  <si>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</si>
  <si>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</si>
  <si>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</si>
  <si>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</si>
  <si>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</si>
  <si>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</si>
  <si>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</si>
  <si>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</si>
  <si>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</si>
  <si>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</si>
  <si>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</si>
  <si>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</si>
  <si>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</si>
  <si>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</si>
  <si>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</si>
  <si>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</si>
  <si>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</si>
  <si>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</si>
  <si>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</si>
  <si>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</si>
  <si>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</si>
  <si>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</si>
  <si>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</si>
  <si>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</si>
  <si>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</si>
  <si>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</si>
  <si>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</si>
  <si>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</si>
  <si>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</si>
  <si>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</si>
  <si>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</si>
  <si>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</si>
  <si>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</si>
  <si>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</si>
  <si>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</si>
  <si>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</si>
  <si>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</si>
  <si>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</si>
  <si>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</si>
  <si>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</si>
  <si>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</si>
  <si>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</si>
  <si>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</si>
  <si>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</si>
  <si>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</si>
  <si>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</si>
  <si>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</si>
  <si>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</si>
  <si>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</si>
  <si>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</si>
  <si>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</si>
  <si>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</si>
  <si>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</si>
  <si>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</si>
  <si>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</si>
  <si>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</si>
  <si>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</si>
  <si>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</si>
  <si>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</si>
  <si>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</si>
  <si>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</si>
  <si>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</si>
  <si>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</si>
  <si>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</si>
  <si>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</si>
  <si>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</si>
  <si>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</si>
  <si>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</si>
  <si>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</si>
  <si>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</si>
  <si>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</si>
  <si>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</si>
  <si>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</si>
  <si>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</si>
  <si>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</si>
  <si>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</si>
  <si>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</si>
  <si>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</si>
  <si>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</si>
  <si>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</si>
  <si>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</si>
  <si>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</si>
  <si>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</si>
  <si>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</si>
  <si>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</si>
  <si>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</si>
  <si>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</si>
  <si>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</si>
  <si>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</si>
  <si>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</si>
  <si>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</si>
  <si>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</si>
  <si>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</si>
  <si>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</si>
  <si>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</si>
  <si>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</si>
  <si>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</si>
  <si>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</si>
  <si>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</si>
  <si>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</si>
  <si>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</si>
  <si>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</si>
  <si>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</si>
  <si>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</si>
  <si>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</si>
  <si>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</si>
  <si>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</si>
  <si>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</si>
  <si>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</si>
  <si>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</si>
  <si>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</si>
  <si>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</si>
  <si>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</si>
  <si>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</si>
  <si>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</si>
  <si>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</si>
  <si>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</si>
  <si>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</si>
  <si>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</si>
  <si>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</si>
  <si>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</si>
  <si>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</si>
  <si>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</si>
  <si>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</si>
  <si>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</si>
  <si>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</si>
  <si>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</si>
  <si>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</si>
  <si>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</si>
  <si>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</si>
  <si>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</si>
  <si>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</si>
  <si>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</si>
  <si>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</si>
  <si>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</si>
  <si>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</si>
  <si>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</si>
  <si>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</si>
  <si>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</si>
  <si>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</si>
  <si>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</si>
  <si>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</si>
  <si>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</si>
  <si>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</si>
  <si>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</si>
  <si>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</si>
  <si>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</si>
  <si>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</si>
  <si>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</si>
  <si>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</si>
  <si>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</si>
  <si>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</si>
  <si>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</si>
  <si>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</si>
  <si>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</si>
  <si>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</si>
  <si>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</si>
  <si>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</si>
  <si>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</si>
  <si>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</si>
  <si>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</si>
  <si>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</si>
  <si>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</si>
  <si>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</si>
  <si>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</si>
  <si>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</si>
  <si>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</si>
  <si>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</si>
  <si>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</si>
  <si>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(Vários itens)</t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</si>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</sst>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3630</c:v>
                </c:pt>
                <c:pt idx="1">
                  <c:v>2249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11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R$ 2.340,00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R$ 2.940,00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>
    <xdr:from>
      <xdr:col>0</xdr:col>
      <xdr:colOff>228600</xdr:colOff>
      <xdr:row>4</xdr:row>
      <xdr:rowOff>47625</xdr:rowOff>
    </xdr:from>
    <xdr:to>
      <xdr:col>0</xdr:col>
      <xdr:colOff>1762125</xdr:colOff>
      <xdr:row>6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E952A14-7F63-3939-42D9-A872B3E8A9CE}"/>
            </a:ext>
            <a:ext uri="{147F2762-F138-4A5C-976F-8EAC2B608ADB}">
              <a16:predDERef xmlns:a16="http://schemas.microsoft.com/office/drawing/2014/main" pred="{FA5C664E-2699-4DBD-8F76-94B27D37C6C0}"/>
            </a:ext>
          </a:extLst>
        </xdr:cNvPr>
        <xdr:cNvSpPr txBox="1"/>
      </xdr:nvSpPr>
      <xdr:spPr>
        <a:xfrm>
          <a:off x="228600" y="942975"/>
          <a:ext cx="1533525" cy="285750"/>
        </a:xfrm>
        <a:prstGeom prst="rect">
          <a:avLst/>
        </a:prstGeom>
        <a:solidFill>
          <a:srgbClr val="22C55E"/>
        </a:solidFill>
        <a:ln w="28575" cmpd="sng">
          <a:solidFill>
            <a:srgbClr val="22C55E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Bem vindo, Mestre</a:t>
          </a:r>
        </a:p>
      </xdr:txBody>
    </xdr:sp>
    <xdr:clientData/>
  </xdr:twoCellAnchor>
  <xdr:twoCellAnchor editAs="oneCell">
    <xdr:from>
      <xdr:col>0</xdr:col>
      <xdr:colOff>485775</xdr:colOff>
      <xdr:row>0</xdr:row>
      <xdr:rowOff>28575</xdr:rowOff>
    </xdr:from>
    <xdr:to>
      <xdr:col>0</xdr:col>
      <xdr:colOff>1333500</xdr:colOff>
      <xdr:row>4</xdr:row>
      <xdr:rowOff>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717D08E-45C9-6220-C480-C956455241DA}"/>
            </a:ext>
            <a:ext uri="{147F2762-F138-4A5C-976F-8EAC2B608ADB}">
              <a16:predDERef xmlns:a16="http://schemas.microsoft.com/office/drawing/2014/main" pred="{9E952A14-7F63-3939-42D9-A872B3E8A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5775" y="28575"/>
          <a:ext cx="847725" cy="8667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3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3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3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7" zoomScaleNormal="100" workbookViewId="0">
      <selection activeCell="N16" sqref="N1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27" workbookViewId="0">
      <selection activeCell="E36" sqref="E36"/>
    </sheetView>
  </sheetViews>
  <sheetFormatPr defaultRowHeight="15"/>
  <cols>
    <col min="2" max="2" width="18.5703125" bestFit="1" customWidth="1"/>
    <col min="3" max="3" width="33.8554687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20" t="s">
        <v>313</v>
      </c>
      <c r="C3" s="20"/>
      <c r="D3" s="20"/>
      <c r="E3" s="20"/>
      <c r="F3" s="20"/>
    </row>
    <row r="6" spans="2:6">
      <c r="B6" t="s">
        <v>314</v>
      </c>
    </row>
    <row r="7" spans="2:6">
      <c r="B7" t="s">
        <v>315</v>
      </c>
    </row>
    <row r="9" spans="2:6">
      <c r="B9" s="12" t="s">
        <v>17</v>
      </c>
      <c r="C9" t="s">
        <v>316</v>
      </c>
    </row>
    <row r="11" spans="2:6">
      <c r="B11" s="12" t="s">
        <v>317</v>
      </c>
      <c r="C11" t="s">
        <v>318</v>
      </c>
    </row>
    <row r="12" spans="2:6">
      <c r="B12" s="14" t="s">
        <v>30</v>
      </c>
      <c r="C12" s="13">
        <v>3630</v>
      </c>
    </row>
    <row r="13" spans="2:6">
      <c r="B13" s="14" t="s">
        <v>26</v>
      </c>
      <c r="C13" s="13">
        <v>2249</v>
      </c>
    </row>
    <row r="14" spans="2:6">
      <c r="B14" s="14" t="s">
        <v>319</v>
      </c>
      <c r="C14" s="13">
        <v>5879</v>
      </c>
    </row>
    <row r="17" spans="2:5">
      <c r="B17" s="14" t="s">
        <v>320</v>
      </c>
    </row>
    <row r="19" spans="2:5">
      <c r="B19" s="12" t="s">
        <v>17</v>
      </c>
      <c r="C19" t="s">
        <v>316</v>
      </c>
    </row>
    <row r="21" spans="2:5">
      <c r="B21" s="12" t="s">
        <v>317</v>
      </c>
      <c r="C21" t="s">
        <v>321</v>
      </c>
    </row>
    <row r="22" spans="2:5">
      <c r="B22" s="14" t="s">
        <v>29</v>
      </c>
      <c r="C22" s="15">
        <v>0</v>
      </c>
    </row>
    <row r="23" spans="2:5">
      <c r="B23" s="14" t="s">
        <v>34</v>
      </c>
      <c r="C23" s="15">
        <v>0</v>
      </c>
    </row>
    <row r="24" spans="2:5">
      <c r="B24" s="14" t="s">
        <v>25</v>
      </c>
      <c r="C24" s="15">
        <v>2340</v>
      </c>
    </row>
    <row r="25" spans="2:5">
      <c r="B25" s="14" t="s">
        <v>319</v>
      </c>
      <c r="C25" s="15">
        <v>2340</v>
      </c>
      <c r="E25" s="17">
        <f>GETPIVOTDATA("EA Play Season Pass
Price",$B$21)</f>
        <v>2340</v>
      </c>
    </row>
    <row r="28" spans="2:5">
      <c r="B28" s="14" t="s">
        <v>322</v>
      </c>
    </row>
    <row r="30" spans="2:5">
      <c r="B30" s="12" t="s">
        <v>17</v>
      </c>
      <c r="C30" t="s">
        <v>316</v>
      </c>
    </row>
    <row r="32" spans="2:5">
      <c r="B32" s="12" t="s">
        <v>317</v>
      </c>
      <c r="C32" t="s">
        <v>323</v>
      </c>
    </row>
    <row r="33" spans="2:5">
      <c r="B33" s="14" t="s">
        <v>29</v>
      </c>
      <c r="C33" s="13">
        <v>0</v>
      </c>
    </row>
    <row r="34" spans="2:5">
      <c r="B34" s="14" t="s">
        <v>34</v>
      </c>
      <c r="C34" s="13">
        <v>1380</v>
      </c>
    </row>
    <row r="35" spans="2:5">
      <c r="B35" s="14" t="s">
        <v>25</v>
      </c>
      <c r="C35" s="13">
        <v>1560</v>
      </c>
    </row>
    <row r="36" spans="2:5">
      <c r="B36" s="14" t="s">
        <v>319</v>
      </c>
      <c r="C36" s="13">
        <v>2940</v>
      </c>
      <c r="E36" s="17">
        <f>GETPIVOTDATA("Minecraft Season Pass Price",$B$32)</f>
        <v>2940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A3" sqref="A3"/>
    </sheetView>
  </sheetViews>
  <sheetFormatPr defaultRowHeight="1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>
      <c r="C2" s="19" t="s">
        <v>324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6109AA-4A63-4ABA-9238-1315B3F7EEAB}"/>
</file>

<file path=customXml/itemProps2.xml><?xml version="1.0" encoding="utf-8"?>
<ds:datastoreItem xmlns:ds="http://schemas.openxmlformats.org/officeDocument/2006/customXml" ds:itemID="{499037E4-A6E4-45D3-B93A-3D2B6A0C2B33}"/>
</file>

<file path=customXml/itemProps3.xml><?xml version="1.0" encoding="utf-8"?>
<ds:datastoreItem xmlns:ds="http://schemas.openxmlformats.org/officeDocument/2006/customXml" ds:itemID="{A6A6278B-0476-46CE-815A-3F41F43711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2025-11-23T15:36:52Z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